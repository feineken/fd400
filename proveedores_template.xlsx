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marialuzvillanueva/Desktop/Coding/fd400/"/>
    </mc:Choice>
  </mc:AlternateContent>
  <xr:revisionPtr revIDLastSave="0" documentId="13_ncr:1_{0936BD08-1AD7-8542-A34E-3F23880DD53F}" xr6:coauthVersionLast="36" xr6:coauthVersionMax="36" xr10:uidLastSave="{00000000-0000-0000-0000-000000000000}"/>
  <bookViews>
    <workbookView xWindow="0" yWindow="500" windowWidth="33600" windowHeight="20500" xr2:uid="{00000000-000D-0000-FFFF-FFFF00000000}"/>
  </bookViews>
  <sheets>
    <sheet name="Proveedores" sheetId="1" r:id="rId1"/>
    <sheet name="diccionario" sheetId="3" r:id="rId2"/>
    <sheet name="Listas" sheetId="2" r:id="rId3"/>
  </sheets>
  <calcPr calcId="181029"/>
</workbook>
</file>

<file path=xl/calcChain.xml><?xml version="1.0" encoding="utf-8"?>
<calcChain xmlns="http://schemas.openxmlformats.org/spreadsheetml/2006/main">
  <c r="E47" i="1" l="1"/>
  <c r="C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E2" i="1"/>
  <c r="C2" i="1"/>
  <c r="C45" i="1" l="1"/>
  <c r="C46" i="1"/>
  <c r="C44" i="1"/>
  <c r="C43" i="1"/>
  <c r="C42" i="1"/>
  <c r="C41" i="1"/>
  <c r="C40" i="1"/>
  <c r="C39" i="1"/>
  <c r="C38" i="1"/>
  <c r="C37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</calcChain>
</file>

<file path=xl/sharedStrings.xml><?xml version="1.0" encoding="utf-8"?>
<sst xmlns="http://schemas.openxmlformats.org/spreadsheetml/2006/main" count="322" uniqueCount="194">
  <si>
    <t>RUT</t>
  </si>
  <si>
    <t>DV</t>
  </si>
  <si>
    <t>Nombre</t>
  </si>
  <si>
    <t>Banco</t>
  </si>
  <si>
    <t>Cuenta</t>
  </si>
  <si>
    <t>MedioPago</t>
  </si>
  <si>
    <t>Monto</t>
  </si>
  <si>
    <t>Descripcion</t>
  </si>
  <si>
    <t>Email</t>
  </si>
  <si>
    <t>GlosaMensaje</t>
  </si>
  <si>
    <t>GlosaFact1</t>
  </si>
  <si>
    <t>MontoFact1</t>
  </si>
  <si>
    <t>GlosaFact2</t>
  </si>
  <si>
    <t>MontoFact2</t>
  </si>
  <si>
    <t>GlosaFact3</t>
  </si>
  <si>
    <t>MontoFact3</t>
  </si>
  <si>
    <t>GlosaFact4</t>
  </si>
  <si>
    <t>MontoFact4</t>
  </si>
  <si>
    <t>Cod. Banco</t>
  </si>
  <si>
    <t>Nombre Banco</t>
  </si>
  <si>
    <t>Cod. Medio Pago</t>
  </si>
  <si>
    <t>001</t>
  </si>
  <si>
    <t>Banco de Chile</t>
  </si>
  <si>
    <t>01</t>
  </si>
  <si>
    <t>Cta Cte Banco de Chile</t>
  </si>
  <si>
    <t>009</t>
  </si>
  <si>
    <t>Banco Internacional</t>
  </si>
  <si>
    <t>06</t>
  </si>
  <si>
    <t>Cta Ahorro Banco de Chile</t>
  </si>
  <si>
    <t>012</t>
  </si>
  <si>
    <t>Banco Estado</t>
  </si>
  <si>
    <t>07</t>
  </si>
  <si>
    <t>Cta Cte otros bancos</t>
  </si>
  <si>
    <t>014</t>
  </si>
  <si>
    <t>Scotiabank</t>
  </si>
  <si>
    <t>08</t>
  </si>
  <si>
    <t>Cta Ahorro otros bancos</t>
  </si>
  <si>
    <t>016</t>
  </si>
  <si>
    <t>BCI</t>
  </si>
  <si>
    <t>11</t>
  </si>
  <si>
    <t>Bancuenta Credichile</t>
  </si>
  <si>
    <t>028</t>
  </si>
  <si>
    <t>BICE</t>
  </si>
  <si>
    <t>12</t>
  </si>
  <si>
    <t>Pago efectivo Servipag</t>
  </si>
  <si>
    <t>031</t>
  </si>
  <si>
    <t>HSBC</t>
  </si>
  <si>
    <t>037</t>
  </si>
  <si>
    <t>Santander</t>
  </si>
  <si>
    <t>039</t>
  </si>
  <si>
    <t>Itau / Corpbanca</t>
  </si>
  <si>
    <t>041</t>
  </si>
  <si>
    <t>JP Morgan</t>
  </si>
  <si>
    <t>049</t>
  </si>
  <si>
    <t>Security</t>
  </si>
  <si>
    <t>051</t>
  </si>
  <si>
    <t>Falabella</t>
  </si>
  <si>
    <t>053</t>
  </si>
  <si>
    <t>Banco Ripley</t>
  </si>
  <si>
    <t>055</t>
  </si>
  <si>
    <t>Consorcio</t>
  </si>
  <si>
    <t>672</t>
  </si>
  <si>
    <t>Coopeuch</t>
  </si>
  <si>
    <t>729</t>
  </si>
  <si>
    <t>Prepago Los Heroes</t>
  </si>
  <si>
    <t>730</t>
  </si>
  <si>
    <t>Tenpo Prepago</t>
  </si>
  <si>
    <t>Pedro Pablo Lorca Sierra</t>
  </si>
  <si>
    <t>Eneval Comercial SPA</t>
  </si>
  <si>
    <t>k</t>
  </si>
  <si>
    <t>Decker y Decker Limitada</t>
  </si>
  <si>
    <t>Servicio Finestra Ltda.</t>
  </si>
  <si>
    <t>Nespresso Chile Sa.</t>
  </si>
  <si>
    <t>GDE S,A,</t>
  </si>
  <si>
    <t>Maxi Mobility Chile II SPA</t>
  </si>
  <si>
    <t>Rentokil Initial Chile SPA</t>
  </si>
  <si>
    <t>GC RENT CHILE SPA</t>
  </si>
  <si>
    <t>MYHOTEL S.A.</t>
  </si>
  <si>
    <t>PANESCO CHILE SPA</t>
  </si>
  <si>
    <t>Benditovino S.P.A</t>
  </si>
  <si>
    <t>SOC BRAVO Y HERMANOS LTDA</t>
  </si>
  <si>
    <t>CARNES LOS LOPEZ SPA</t>
  </si>
  <si>
    <t>PASTIFICIO SPA</t>
  </si>
  <si>
    <t>COLHUE SPA</t>
  </si>
  <si>
    <t>PAR CUATRO S.A.</t>
  </si>
  <si>
    <t>SOUL MEDIA SPA</t>
  </si>
  <si>
    <t>Vertigreen Limitada</t>
  </si>
  <si>
    <t>LQA INGENIERIA SPA</t>
  </si>
  <si>
    <t>Pibamour Soc Comercial</t>
  </si>
  <si>
    <t>COM. PEUMO LTDA.</t>
  </si>
  <si>
    <t>Agroproductos Bauzá Ltda</t>
  </si>
  <si>
    <t>T. Villard Fines Wines Ltda</t>
  </si>
  <si>
    <t>STEWARD S.A.</t>
  </si>
  <si>
    <t>PROQUIMIA S.A.</t>
  </si>
  <si>
    <t>Comercial CCU S.A.</t>
  </si>
  <si>
    <t>DISTRIBUCION Y EXCELENCIA S.A.</t>
  </si>
  <si>
    <t>mtugas@desa.cl</t>
  </si>
  <si>
    <t>BANCO DE CHILE /EDWARDS</t>
  </si>
  <si>
    <t>BANCO DE CREDITO E INVERSIONES</t>
  </si>
  <si>
    <t>pablolorcaps@gmail.com</t>
  </si>
  <si>
    <t>0490226600</t>
  </si>
  <si>
    <t>rtorrejon@ccu.cl</t>
  </si>
  <si>
    <t>icemanchile.pagos@gmail.com</t>
  </si>
  <si>
    <t>BANCO ESTADO</t>
  </si>
  <si>
    <t>infopagos@finestrachile.com</t>
  </si>
  <si>
    <t>clconcierge@nespresso.com</t>
  </si>
  <si>
    <t>BANCO SANTANDER</t>
  </si>
  <si>
    <t>crojas@gdexpress.cl</t>
  </si>
  <si>
    <t>Banco Santander</t>
  </si>
  <si>
    <t>jacqueline.saez@rentokil-initial.com</t>
  </si>
  <si>
    <t>ejecutivo04@peipro.com</t>
  </si>
  <si>
    <t>cobranza@myhotel.com</t>
  </si>
  <si>
    <t>BANCO BICE</t>
  </si>
  <si>
    <t>cobranzas@panescofood.cl</t>
  </si>
  <si>
    <t>alberto@benditovino.cl</t>
  </si>
  <si>
    <t>raquel@bravoyhermanos.cl</t>
  </si>
  <si>
    <t>BANCO ITAU /CORPBANCA</t>
  </si>
  <si>
    <t>adm@loslopez.cl</t>
  </si>
  <si>
    <t>mlpastificio@gmail.com</t>
  </si>
  <si>
    <t>rdiaz@agricolacolhue.cl</t>
  </si>
  <si>
    <t>asistente@par4.cl</t>
  </si>
  <si>
    <t>adm@souldigital.cl</t>
  </si>
  <si>
    <t>vertigreenchile@gmail.com</t>
  </si>
  <si>
    <t>BANCO SCOTIABANK</t>
  </si>
  <si>
    <t>lquijada@lqaconsultores.cl</t>
  </si>
  <si>
    <t>IMPORT Y ALIMENTOS ICB FOOD SERVICE</t>
  </si>
  <si>
    <t>rvillagra@icbfs.cl</t>
  </si>
  <si>
    <t>jperez@vctchile.com</t>
  </si>
  <si>
    <t>contabilidad@villard.cl</t>
  </si>
  <si>
    <t>pmartinez@proquimia.com</t>
  </si>
  <si>
    <t>cobranzas@southwind.cl</t>
  </si>
  <si>
    <t>Comercial y Pesquera South Wind S.A.</t>
  </si>
  <si>
    <t>18311962</t>
  </si>
  <si>
    <t>cobranza@heavenward.cl</t>
  </si>
  <si>
    <t>HEAVENWARD ASCENSORES S.A.</t>
  </si>
  <si>
    <t>lpulgar@steward.cl</t>
  </si>
  <si>
    <t>420100017880</t>
  </si>
  <si>
    <t>postventa@eneval.cl</t>
  </si>
  <si>
    <t>facturacion.clientes.cl@cabify.com</t>
  </si>
  <si>
    <t>COMERCIAL BLANCO Y CIA. LTDA.</t>
  </si>
  <si>
    <t>s.valdebenito@comercialblanco.cl</t>
  </si>
  <si>
    <t>mlvillanueva@hotelmagnolia.cl</t>
  </si>
  <si>
    <t>DISTRIBUIDORA DE ALIMENTOS RAPA NUI LTDA</t>
  </si>
  <si>
    <t>transferencias@rapa-nui.cl</t>
  </si>
  <si>
    <t>Factura 37961</t>
  </si>
  <si>
    <t>Factura 37962</t>
  </si>
  <si>
    <t>Factura 37963</t>
  </si>
  <si>
    <t>Factura 37964</t>
  </si>
  <si>
    <t>Factura 37974</t>
  </si>
  <si>
    <t>Factura 37975</t>
  </si>
  <si>
    <t>Factura 37977</t>
  </si>
  <si>
    <t>Factura 37978</t>
  </si>
  <si>
    <t>Factura 37976</t>
  </si>
  <si>
    <t>Factura 12887</t>
  </si>
  <si>
    <t>Factura 7748</t>
  </si>
  <si>
    <t>Factura 7793</t>
  </si>
  <si>
    <t>Factura 90630</t>
  </si>
  <si>
    <t>Factura 374891</t>
  </si>
  <si>
    <t>Factura 60859</t>
  </si>
  <si>
    <t>Factura 285300</t>
  </si>
  <si>
    <t>Factura 779968</t>
  </si>
  <si>
    <t>Factura 354069</t>
  </si>
  <si>
    <t>Factura 8381</t>
  </si>
  <si>
    <t>Factura 181989</t>
  </si>
  <si>
    <t>Factura 19178</t>
  </si>
  <si>
    <t>Factura 19243</t>
  </si>
  <si>
    <t>Factura 39633</t>
  </si>
  <si>
    <t>Factura 14970</t>
  </si>
  <si>
    <t>Factura 14981</t>
  </si>
  <si>
    <t>Factura 8590</t>
  </si>
  <si>
    <t>Factura 10104</t>
  </si>
  <si>
    <t>Factura 203239</t>
  </si>
  <si>
    <t>Factura 810</t>
  </si>
  <si>
    <t>Factura 16182</t>
  </si>
  <si>
    <t>Factura 16302</t>
  </si>
  <si>
    <t>Factura 731</t>
  </si>
  <si>
    <t>Factura 5508753</t>
  </si>
  <si>
    <t>Factura 201708</t>
  </si>
  <si>
    <t>Factura 280228</t>
  </si>
  <si>
    <t>Factura 1278940</t>
  </si>
  <si>
    <t>Factura 7523683</t>
  </si>
  <si>
    <t>Factura 6589</t>
  </si>
  <si>
    <t>Factura 10078549</t>
  </si>
  <si>
    <t>Factura 10078550</t>
  </si>
  <si>
    <t>Factura 1489360</t>
  </si>
  <si>
    <t>Factura 116483</t>
  </si>
  <si>
    <t>Factura 1295512</t>
  </si>
  <si>
    <t>Factura 204368</t>
  </si>
  <si>
    <t>Factura 176515594</t>
  </si>
  <si>
    <t>America Fun Travel SPA</t>
  </si>
  <si>
    <t>Factura 185</t>
  </si>
  <si>
    <t>makharena.olmedo@gmail.com</t>
  </si>
  <si>
    <t>hernan@americanfuntravel.com</t>
  </si>
  <si>
    <t>000065294893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</si>
</sst>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sz val="12"/>
      <color rgb="FF000000"/>
      <name val="Helvetica"/>
      <family val="2"/>
    </font>
    <font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0"/>
      <color theme="1"/>
      <name val="Calibri"/>
      <family val="2"/>
      <scheme val="minor"/>
    </font>
    <font>
      <sz val="12"/>
      <color rgb="FF2A343D"/>
      <name val="Robotoregula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3" fillId="0" borderId="0" xfId="0" applyFont="1"/>
    <xf numFmtId="0" fontId="2" fillId="0" borderId="0" xfId="1" applyFill="1"/>
    <xf numFmtId="0" fontId="4" fillId="0" borderId="0" xfId="0" applyFont="1" applyProtection="1">
      <protection locked="0"/>
    </xf>
    <xf numFmtId="0" fontId="0" fillId="0" borderId="0" xfId="0" applyProtection="1">
      <protection locked="0"/>
    </xf>
    <xf numFmtId="49" fontId="0" fillId="0" borderId="0" xfId="0" applyNumberFormat="1" applyAlignment="1" applyProtection="1">
      <alignment horizontal="center"/>
      <protection locked="0"/>
    </xf>
    <xf numFmtId="0" fontId="5" fillId="0" borderId="0" xfId="0" applyFont="1" applyProtection="1">
      <protection locked="0"/>
    </xf>
    <xf numFmtId="0" fontId="2" fillId="0" borderId="0" xfId="1"/>
    <xf numFmtId="49" fontId="0" fillId="0" borderId="0" xfId="0" applyNumberFormat="1" applyAlignment="1" applyProtection="1">
      <alignment horizontal="right"/>
      <protection locked="0"/>
    </xf>
    <xf numFmtId="0" fontId="4" fillId="0" borderId="0" xfId="0" applyFont="1"/>
    <xf numFmtId="0" fontId="5" fillId="0" borderId="0" xfId="0" applyFont="1" applyAlignment="1">
      <alignment horizontal="center"/>
    </xf>
    <xf numFmtId="0" fontId="2" fillId="0" borderId="0" xfId="1" applyAlignment="1">
      <alignment vertical="center"/>
    </xf>
    <xf numFmtId="0" fontId="6" fillId="0" borderId="0" xfId="0" applyFont="1" applyProtection="1">
      <protection locked="0"/>
    </xf>
    <xf numFmtId="0" fontId="5" fillId="0" borderId="0" xfId="0" applyFont="1"/>
    <xf numFmtId="0" fontId="7" fillId="0" borderId="0" xfId="0" applyFont="1"/>
    <xf numFmtId="0" fontId="8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hernan@americanfuntrave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cobranza@myhotel.com" TargetMode="External"/><Relationship Id="rId13" Type="http://schemas.openxmlformats.org/officeDocument/2006/relationships/hyperlink" Target="mailto:mlpastificio@gmail.com" TargetMode="External"/><Relationship Id="rId18" Type="http://schemas.openxmlformats.org/officeDocument/2006/relationships/hyperlink" Target="mailto:contabilidad@villard.cl" TargetMode="External"/><Relationship Id="rId3" Type="http://schemas.openxmlformats.org/officeDocument/2006/relationships/hyperlink" Target="mailto:icemanchile.pagos@gmail.com" TargetMode="External"/><Relationship Id="rId21" Type="http://schemas.openxmlformats.org/officeDocument/2006/relationships/hyperlink" Target="mailto:lpulgar@steward.cl" TargetMode="External"/><Relationship Id="rId7" Type="http://schemas.openxmlformats.org/officeDocument/2006/relationships/hyperlink" Target="mailto:ejecutivo04@peipro.com" TargetMode="External"/><Relationship Id="rId12" Type="http://schemas.openxmlformats.org/officeDocument/2006/relationships/hyperlink" Target="mailto:adm@loslopez.cl" TargetMode="External"/><Relationship Id="rId17" Type="http://schemas.openxmlformats.org/officeDocument/2006/relationships/hyperlink" Target="mailto:jperez@vctchile.com" TargetMode="External"/><Relationship Id="rId25" Type="http://schemas.openxmlformats.org/officeDocument/2006/relationships/hyperlink" Target="mailto:makharena.olmedo@gmail.com" TargetMode="External"/><Relationship Id="rId2" Type="http://schemas.openxmlformats.org/officeDocument/2006/relationships/hyperlink" Target="mailto:rtorrejon@ccu.cl" TargetMode="External"/><Relationship Id="rId16" Type="http://schemas.openxmlformats.org/officeDocument/2006/relationships/hyperlink" Target="mailto:lquijada@lqaconsultores.cl" TargetMode="External"/><Relationship Id="rId20" Type="http://schemas.openxmlformats.org/officeDocument/2006/relationships/hyperlink" Target="mailto:cobranza@heavenward.cl" TargetMode="External"/><Relationship Id="rId1" Type="http://schemas.openxmlformats.org/officeDocument/2006/relationships/hyperlink" Target="mailto:mtugas@desa.cl" TargetMode="External"/><Relationship Id="rId6" Type="http://schemas.openxmlformats.org/officeDocument/2006/relationships/hyperlink" Target="mailto:jacqueline.saez@rentokil-initial.com" TargetMode="External"/><Relationship Id="rId11" Type="http://schemas.openxmlformats.org/officeDocument/2006/relationships/hyperlink" Target="mailto:raquel@bravoyhermanos.cl" TargetMode="External"/><Relationship Id="rId24" Type="http://schemas.openxmlformats.org/officeDocument/2006/relationships/hyperlink" Target="mailto:transferencias@rapa-nui.cl" TargetMode="External"/><Relationship Id="rId5" Type="http://schemas.openxmlformats.org/officeDocument/2006/relationships/hyperlink" Target="mailto:crojas@gdexpress.cl" TargetMode="External"/><Relationship Id="rId15" Type="http://schemas.openxmlformats.org/officeDocument/2006/relationships/hyperlink" Target="mailto:adm@souldigital.cl" TargetMode="External"/><Relationship Id="rId23" Type="http://schemas.openxmlformats.org/officeDocument/2006/relationships/hyperlink" Target="mailto:mlvillanueva@hotelmagnolia.cl" TargetMode="External"/><Relationship Id="rId10" Type="http://schemas.openxmlformats.org/officeDocument/2006/relationships/hyperlink" Target="mailto:alberto@benditovino.cl" TargetMode="External"/><Relationship Id="rId19" Type="http://schemas.openxmlformats.org/officeDocument/2006/relationships/hyperlink" Target="mailto:pmartinez@proquimia.com" TargetMode="External"/><Relationship Id="rId4" Type="http://schemas.openxmlformats.org/officeDocument/2006/relationships/hyperlink" Target="mailto:clconcierge@nespresso.com" TargetMode="External"/><Relationship Id="rId9" Type="http://schemas.openxmlformats.org/officeDocument/2006/relationships/hyperlink" Target="mailto:cobranzas@panescofood.cl" TargetMode="External"/><Relationship Id="rId14" Type="http://schemas.openxmlformats.org/officeDocument/2006/relationships/hyperlink" Target="mailto:asistente@par4.cl" TargetMode="External"/><Relationship Id="rId22" Type="http://schemas.openxmlformats.org/officeDocument/2006/relationships/hyperlink" Target="mailto:facturacion.clientes.cl@cabif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7"/>
  <sheetViews>
    <sheetView tabSelected="1" workbookViewId="0">
      <pane ySplit="1" topLeftCell="A2" activePane="bottomLeft" state="frozen"/>
      <selection pane="bottomLeft" activeCell="C35" sqref="C35"/>
    </sheetView>
  </sheetViews>
  <sheetFormatPr baseColWidth="10" defaultColWidth="8.83203125" defaultRowHeight="15"/>
  <cols>
    <col min="1" max="1" width="13" customWidth="1"/>
    <col min="2" max="2" width="4" customWidth="1"/>
    <col min="3" max="3" width="42" customWidth="1"/>
    <col min="4" max="4" width="8" customWidth="1"/>
    <col min="5" max="5" width="20" customWidth="1"/>
    <col min="6" max="7" width="12" customWidth="1"/>
    <col min="8" max="9" width="30" customWidth="1"/>
    <col min="10" max="10" width="35" customWidth="1"/>
    <col min="11" max="11" width="25" customWidth="1"/>
    <col min="12" max="12" width="12" customWidth="1"/>
    <col min="13" max="13" width="25" customWidth="1"/>
    <col min="14" max="14" width="12" customWidth="1"/>
    <col min="15" max="15" width="25" customWidth="1"/>
    <col min="16" max="16" width="12" customWidth="1"/>
    <col min="17" max="17" width="25" customWidth="1"/>
    <col min="18" max="18" width="12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>
        <v>14182066</v>
      </c>
      <c r="B2">
        <v>4</v>
      </c>
      <c r="C2" t="str">
        <f>VLOOKUP(A2,diccionario!$A$2:$F34,3,0)</f>
        <v>Pedro Pablo Lorca Sierra</v>
      </c>
      <c r="D2" t="s">
        <v>37</v>
      </c>
      <c r="E2">
        <f>VLOOKUP($A2,diccionario!$A$2:$F34,5,0)</f>
        <v>86105094</v>
      </c>
      <c r="F2" t="s">
        <v>31</v>
      </c>
      <c r="G2">
        <v>354412</v>
      </c>
      <c r="I2" t="str">
        <f>VLOOKUP($A2,diccionario!$A$2:$F34,6,0)</f>
        <v>pablolorcaps@gmail.com</v>
      </c>
      <c r="J2" t="s">
        <v>144</v>
      </c>
    </row>
    <row r="3" spans="1:18">
      <c r="A3">
        <v>14182066</v>
      </c>
      <c r="B3">
        <v>4</v>
      </c>
      <c r="C3" t="str">
        <f>VLOOKUP(A3,diccionario!$A$2:F35,3,0)</f>
        <v>Pedro Pablo Lorca Sierra</v>
      </c>
      <c r="D3" t="s">
        <v>37</v>
      </c>
      <c r="E3">
        <f>VLOOKUP($A3,diccionario!$A$2:$F35,5,0)</f>
        <v>86105094</v>
      </c>
      <c r="F3" t="s">
        <v>31</v>
      </c>
      <c r="G3">
        <v>279412</v>
      </c>
      <c r="I3" t="str">
        <f>VLOOKUP($A3,diccionario!$A$2:$F35,6,0)</f>
        <v>pablolorcaps@gmail.com</v>
      </c>
      <c r="J3" t="s">
        <v>145</v>
      </c>
    </row>
    <row r="4" spans="1:18">
      <c r="A4">
        <v>14182066</v>
      </c>
      <c r="B4">
        <v>4</v>
      </c>
      <c r="C4" t="str">
        <f>VLOOKUP(A4,diccionario!$A$2:F36,3,0)</f>
        <v>Pedro Pablo Lorca Sierra</v>
      </c>
      <c r="D4" t="s">
        <v>37</v>
      </c>
      <c r="E4">
        <f>VLOOKUP($A4,diccionario!$A$2:$F36,5,0)</f>
        <v>86105094</v>
      </c>
      <c r="F4" t="s">
        <v>31</v>
      </c>
      <c r="G4">
        <v>236692</v>
      </c>
      <c r="I4" t="str">
        <f>VLOOKUP($A4,diccionario!$A$2:$F36,6,0)</f>
        <v>pablolorcaps@gmail.com</v>
      </c>
      <c r="J4" t="s">
        <v>146</v>
      </c>
    </row>
    <row r="5" spans="1:18">
      <c r="A5">
        <v>14182066</v>
      </c>
      <c r="B5">
        <v>4</v>
      </c>
      <c r="C5" t="str">
        <f>VLOOKUP(A5,diccionario!$A$2:F37,3,0)</f>
        <v>Pedro Pablo Lorca Sierra</v>
      </c>
      <c r="D5" t="s">
        <v>37</v>
      </c>
      <c r="E5">
        <f>VLOOKUP($A5,diccionario!$A$2:$F37,5,0)</f>
        <v>86105094</v>
      </c>
      <c r="F5" t="s">
        <v>31</v>
      </c>
      <c r="G5">
        <v>166237</v>
      </c>
      <c r="I5" t="str">
        <f>VLOOKUP($A5,diccionario!$A$2:$F37,6,0)</f>
        <v>pablolorcaps@gmail.com</v>
      </c>
      <c r="J5" t="s">
        <v>147</v>
      </c>
    </row>
    <row r="6" spans="1:18">
      <c r="A6">
        <v>14182066</v>
      </c>
      <c r="B6">
        <v>4</v>
      </c>
      <c r="C6" t="str">
        <f>VLOOKUP(A6,diccionario!$A$2:F38,3,0)</f>
        <v>Pedro Pablo Lorca Sierra</v>
      </c>
      <c r="D6" t="s">
        <v>37</v>
      </c>
      <c r="E6">
        <f>VLOOKUP($A6,diccionario!$A$2:$F38,5,0)</f>
        <v>86105094</v>
      </c>
      <c r="F6" t="s">
        <v>31</v>
      </c>
      <c r="G6">
        <v>311671</v>
      </c>
      <c r="I6" t="str">
        <f>VLOOKUP($A6,diccionario!$A$2:$F38,6,0)</f>
        <v>pablolorcaps@gmail.com</v>
      </c>
      <c r="J6" s="17" t="s">
        <v>148</v>
      </c>
    </row>
    <row r="7" spans="1:18">
      <c r="A7">
        <v>14182066</v>
      </c>
      <c r="B7">
        <v>4</v>
      </c>
      <c r="C7" t="str">
        <f>VLOOKUP(A7,diccionario!$A$2:F39,3,0)</f>
        <v>Pedro Pablo Lorca Sierra</v>
      </c>
      <c r="D7" t="s">
        <v>37</v>
      </c>
      <c r="E7">
        <f>VLOOKUP($A7,diccionario!$A$2:$F39,5,0)</f>
        <v>86105094</v>
      </c>
      <c r="F7" t="s">
        <v>31</v>
      </c>
      <c r="G7">
        <v>354584</v>
      </c>
      <c r="I7" t="str">
        <f>VLOOKUP($A7,diccionario!$A$2:$F39,6,0)</f>
        <v>pablolorcaps@gmail.com</v>
      </c>
      <c r="J7" s="17" t="s">
        <v>149</v>
      </c>
    </row>
    <row r="8" spans="1:18">
      <c r="A8">
        <v>14182066</v>
      </c>
      <c r="B8">
        <v>4</v>
      </c>
      <c r="C8" t="str">
        <f>VLOOKUP(A8,diccionario!$A$2:F40,3,0)</f>
        <v>Pedro Pablo Lorca Sierra</v>
      </c>
      <c r="D8" t="s">
        <v>37</v>
      </c>
      <c r="E8">
        <f>VLOOKUP($A8,diccionario!$A$2:$F40,5,0)</f>
        <v>86105094</v>
      </c>
      <c r="F8" t="s">
        <v>31</v>
      </c>
      <c r="G8">
        <v>377814</v>
      </c>
      <c r="I8" t="str">
        <f>VLOOKUP($A8,diccionario!$A$2:$F40,6,0)</f>
        <v>pablolorcaps@gmail.com</v>
      </c>
      <c r="J8" s="17" t="s">
        <v>152</v>
      </c>
    </row>
    <row r="9" spans="1:18">
      <c r="A9">
        <v>14182066</v>
      </c>
      <c r="B9">
        <v>4</v>
      </c>
      <c r="C9" t="str">
        <f>VLOOKUP(A9,diccionario!$A$2:F41,3,0)</f>
        <v>Pedro Pablo Lorca Sierra</v>
      </c>
      <c r="D9" t="s">
        <v>37</v>
      </c>
      <c r="E9">
        <f>VLOOKUP($A9,diccionario!$A$2:$F41,5,0)</f>
        <v>86105094</v>
      </c>
      <c r="F9" t="s">
        <v>31</v>
      </c>
      <c r="G9">
        <v>300531</v>
      </c>
      <c r="I9" t="str">
        <f>VLOOKUP($A9,diccionario!$A$2:$F41,6,0)</f>
        <v>pablolorcaps@gmail.com</v>
      </c>
      <c r="J9" s="17" t="s">
        <v>150</v>
      </c>
    </row>
    <row r="10" spans="1:18">
      <c r="A10">
        <v>14182066</v>
      </c>
      <c r="B10">
        <v>4</v>
      </c>
      <c r="C10" t="str">
        <f>VLOOKUP(A10,diccionario!$A$2:F42,3,0)</f>
        <v>Pedro Pablo Lorca Sierra</v>
      </c>
      <c r="D10" t="s">
        <v>37</v>
      </c>
      <c r="E10">
        <f>VLOOKUP($A10,diccionario!$A$2:$F42,5,0)</f>
        <v>86105094</v>
      </c>
      <c r="F10" t="s">
        <v>31</v>
      </c>
      <c r="G10">
        <v>102968</v>
      </c>
      <c r="I10" t="str">
        <f>VLOOKUP($A10,diccionario!$A$2:$F42,6,0)</f>
        <v>pablolorcaps@gmail.com</v>
      </c>
      <c r="J10" s="17" t="s">
        <v>151</v>
      </c>
    </row>
    <row r="11" spans="1:18">
      <c r="A11">
        <v>76008854</v>
      </c>
      <c r="B11">
        <v>4</v>
      </c>
      <c r="C11" t="str">
        <f>VLOOKUP(A11,diccionario!$A$2:F56,3,0)</f>
        <v>Eneval Comercial SPA</v>
      </c>
      <c r="D11" t="s">
        <v>33</v>
      </c>
      <c r="E11" t="str">
        <f>VLOOKUP($A11,diccionario!$A$2:$F56,5,0)</f>
        <v>420100017880</v>
      </c>
      <c r="F11" t="s">
        <v>31</v>
      </c>
      <c r="G11">
        <v>214775</v>
      </c>
      <c r="I11" t="str">
        <f>VLOOKUP($A11,diccionario!$A$2:$F56,6,0)</f>
        <v>postventa@eneval.cl</v>
      </c>
      <c r="J11" t="s">
        <v>153</v>
      </c>
    </row>
    <row r="12" spans="1:18">
      <c r="A12">
        <v>76099748</v>
      </c>
      <c r="B12" t="s">
        <v>69</v>
      </c>
      <c r="C12" t="str">
        <f>VLOOKUP(A12,diccionario!$A$2:F57,3,0)</f>
        <v>Decker y Decker Limitada</v>
      </c>
      <c r="D12" t="s">
        <v>21</v>
      </c>
      <c r="E12">
        <f>VLOOKUP($A12,diccionario!$A$2:$F57,5,0)</f>
        <v>8847301</v>
      </c>
      <c r="F12" t="s">
        <v>23</v>
      </c>
      <c r="G12">
        <v>38080</v>
      </c>
      <c r="I12" t="str">
        <f>VLOOKUP($A12,diccionario!$A$2:$F57,6,0)</f>
        <v>icemanchile.pagos@gmail.com</v>
      </c>
      <c r="J12" t="s">
        <v>154</v>
      </c>
    </row>
    <row r="13" spans="1:18">
      <c r="A13">
        <v>76099748</v>
      </c>
      <c r="B13" t="s">
        <v>69</v>
      </c>
      <c r="C13" t="str">
        <f>VLOOKUP(A13,diccionario!$A$2:F58,3,0)</f>
        <v>Decker y Decker Limitada</v>
      </c>
      <c r="D13" t="s">
        <v>21</v>
      </c>
      <c r="E13">
        <f>VLOOKUP($A13,diccionario!$A$2:$F58,5,0)</f>
        <v>8847301</v>
      </c>
      <c r="F13" t="s">
        <v>23</v>
      </c>
      <c r="G13">
        <v>59500</v>
      </c>
      <c r="I13" t="str">
        <f>VLOOKUP($A13,diccionario!$A$2:$F58,6,0)</f>
        <v>icemanchile.pagos@gmail.com</v>
      </c>
      <c r="J13" t="s">
        <v>155</v>
      </c>
    </row>
    <row r="14" spans="1:18">
      <c r="A14">
        <v>76102554</v>
      </c>
      <c r="B14">
        <v>6</v>
      </c>
      <c r="C14" t="str">
        <f>VLOOKUP(A14,diccionario!$A$2:F59,3,0)</f>
        <v>Servicio Finestra Ltda.</v>
      </c>
      <c r="D14" t="s">
        <v>29</v>
      </c>
      <c r="E14">
        <f>VLOOKUP($A14,diccionario!$A$2:$F59,5,0)</f>
        <v>2500240540</v>
      </c>
      <c r="F14" t="s">
        <v>31</v>
      </c>
      <c r="G14">
        <v>801371</v>
      </c>
      <c r="I14" t="str">
        <f>VLOOKUP($A14,diccionario!$A$2:$F59,6,0)</f>
        <v>infopagos@finestrachile.com</v>
      </c>
      <c r="J14" t="s">
        <v>156</v>
      </c>
    </row>
    <row r="15" spans="1:18">
      <c r="A15">
        <v>76113783</v>
      </c>
      <c r="B15">
        <v>2</v>
      </c>
      <c r="C15" t="str">
        <f>VLOOKUP(A15,diccionario!$A$2:F60,3,0)</f>
        <v>Nespresso Chile Sa.</v>
      </c>
      <c r="D15" t="s">
        <v>21</v>
      </c>
      <c r="E15">
        <f>VLOOKUP($A15,diccionario!$A$2:$F60,5,0)</f>
        <v>111078068</v>
      </c>
      <c r="F15" t="s">
        <v>23</v>
      </c>
      <c r="G15">
        <v>588135</v>
      </c>
      <c r="I15" t="str">
        <f>VLOOKUP($A15,diccionario!$A$2:$F60,6,0)</f>
        <v>clconcierge@nespresso.com</v>
      </c>
      <c r="J15" t="s">
        <v>157</v>
      </c>
    </row>
    <row r="16" spans="1:18">
      <c r="A16">
        <v>76129486</v>
      </c>
      <c r="B16">
        <v>5</v>
      </c>
      <c r="C16" t="str">
        <f>VLOOKUP(A16,diccionario!$A$2:F61,3,0)</f>
        <v>GDE S,A,</v>
      </c>
      <c r="D16" t="s">
        <v>47</v>
      </c>
      <c r="E16" t="str">
        <f>VLOOKUP($A16,diccionario!$A$2:$F61,5,0)</f>
        <v>000065294893</v>
      </c>
      <c r="F16" t="s">
        <v>31</v>
      </c>
      <c r="G16">
        <v>369758</v>
      </c>
      <c r="I16" t="str">
        <f>VLOOKUP($A16,diccionario!$A$2:$F61,6,0)</f>
        <v>crojas@gdexpress.cl</v>
      </c>
      <c r="J16" t="s">
        <v>158</v>
      </c>
    </row>
    <row r="17" spans="1:10">
      <c r="A17">
        <v>76237019</v>
      </c>
      <c r="B17">
        <v>0</v>
      </c>
      <c r="C17" t="str">
        <f>VLOOKUP(A17,diccionario!$A$2:F62,3,0)</f>
        <v>Maxi Mobility Chile II SPA</v>
      </c>
      <c r="D17" t="s">
        <v>21</v>
      </c>
      <c r="E17">
        <f>VLOOKUP($A17,diccionario!$A$2:$F62,5,0)</f>
        <v>8545703</v>
      </c>
      <c r="F17" t="s">
        <v>23</v>
      </c>
      <c r="G17">
        <v>4528414</v>
      </c>
      <c r="I17" t="str">
        <f>VLOOKUP($A17,diccionario!$A$2:$F62,6,0)</f>
        <v>facturacion.clientes.cl@cabify.com</v>
      </c>
      <c r="J17" t="s">
        <v>159</v>
      </c>
    </row>
    <row r="18" spans="1:10">
      <c r="A18">
        <v>76360903</v>
      </c>
      <c r="B18">
        <v>0</v>
      </c>
      <c r="C18" t="str">
        <f>VLOOKUP(A18,diccionario!$A$2:F63,3,0)</f>
        <v>Rentokil Initial Chile SPA</v>
      </c>
      <c r="D18" t="s">
        <v>47</v>
      </c>
      <c r="E18">
        <f>VLOOKUP($A18,diccionario!$A$2:$F63,5,0)</f>
        <v>61372725</v>
      </c>
      <c r="F18" t="s">
        <v>31</v>
      </c>
      <c r="G18">
        <v>314235</v>
      </c>
      <c r="I18" t="str">
        <f>VLOOKUP($A18,diccionario!$A$2:$F63,6,0)</f>
        <v>jacqueline.saez@rentokil-initial.com</v>
      </c>
      <c r="J18" t="s">
        <v>160</v>
      </c>
    </row>
    <row r="19" spans="1:10">
      <c r="A19">
        <v>76360993</v>
      </c>
      <c r="B19">
        <v>6</v>
      </c>
      <c r="C19" t="str">
        <f>VLOOKUP(A19,diccionario!$A$2:F64,3,0)</f>
        <v>GC RENT CHILE SPA</v>
      </c>
      <c r="D19" t="s">
        <v>47</v>
      </c>
      <c r="E19">
        <f>VLOOKUP($A19,diccionario!$A$2:$F64,5,0)</f>
        <v>69495311</v>
      </c>
      <c r="F19" t="s">
        <v>31</v>
      </c>
      <c r="G19">
        <v>119000</v>
      </c>
      <c r="I19" t="str">
        <f>VLOOKUP($A19,diccionario!$A$2:$F64,6,0)</f>
        <v>ejecutivo04@peipro.com</v>
      </c>
      <c r="J19" t="s">
        <v>161</v>
      </c>
    </row>
    <row r="20" spans="1:10">
      <c r="A20">
        <v>76377708</v>
      </c>
      <c r="B20">
        <v>1</v>
      </c>
      <c r="C20" t="str">
        <f>VLOOKUP(A20,diccionario!$A$2:F65,3,0)</f>
        <v>MYHOTEL S.A.</v>
      </c>
      <c r="D20" t="s">
        <v>37</v>
      </c>
      <c r="E20">
        <f>VLOOKUP($A20,diccionario!$A$2:$F65,5,0)</f>
        <v>21614652</v>
      </c>
      <c r="F20" t="s">
        <v>31</v>
      </c>
      <c r="G20">
        <v>241800</v>
      </c>
      <c r="I20" t="str">
        <f>VLOOKUP($A20,diccionario!$A$2:$F65,6,0)</f>
        <v>cobranza@myhotel.com</v>
      </c>
      <c r="J20" t="s">
        <v>162</v>
      </c>
    </row>
    <row r="21" spans="1:10">
      <c r="A21">
        <v>76378746</v>
      </c>
      <c r="B21" t="s">
        <v>69</v>
      </c>
      <c r="C21" t="str">
        <f>VLOOKUP(A21,diccionario!$A$2:F66,3,0)</f>
        <v>PANESCO CHILE SPA</v>
      </c>
      <c r="D21" t="s">
        <v>41</v>
      </c>
      <c r="E21">
        <f>VLOOKUP($A21,diccionario!$A$2:$F66,5,0)</f>
        <v>27000045</v>
      </c>
      <c r="F21" t="s">
        <v>31</v>
      </c>
      <c r="G21">
        <v>364503</v>
      </c>
      <c r="I21" t="str">
        <f>VLOOKUP($A21,diccionario!$A$2:$F66,6,0)</f>
        <v>cobranzas@panescofood.cl</v>
      </c>
      <c r="J21" t="s">
        <v>163</v>
      </c>
    </row>
    <row r="22" spans="1:10">
      <c r="A22">
        <v>76501781</v>
      </c>
      <c r="B22">
        <v>5</v>
      </c>
      <c r="C22" t="str">
        <f>VLOOKUP(A22,diccionario!$A$2:F67,3,0)</f>
        <v>Benditovino S.P.A</v>
      </c>
      <c r="D22" t="s">
        <v>37</v>
      </c>
      <c r="E22">
        <f>VLOOKUP($A22,diccionario!$A$2:$F67,5,0)</f>
        <v>61649350</v>
      </c>
      <c r="F22" t="s">
        <v>31</v>
      </c>
      <c r="G22">
        <v>124261</v>
      </c>
      <c r="I22" t="str">
        <f>VLOOKUP($A22,diccionario!$A$2:$F67,6,0)</f>
        <v>alberto@benditovino.cl</v>
      </c>
      <c r="J22" t="s">
        <v>164</v>
      </c>
    </row>
    <row r="23" spans="1:10">
      <c r="A23">
        <v>76501781</v>
      </c>
      <c r="B23">
        <v>5</v>
      </c>
      <c r="C23" t="str">
        <f>VLOOKUP(A23,diccionario!$A$2:F68,3,0)</f>
        <v>Benditovino S.P.A</v>
      </c>
      <c r="D23" t="s">
        <v>37</v>
      </c>
      <c r="E23">
        <f>VLOOKUP($A23,diccionario!$A$2:$F68,5,0)</f>
        <v>61649350</v>
      </c>
      <c r="F23" t="s">
        <v>31</v>
      </c>
      <c r="G23">
        <v>198817</v>
      </c>
      <c r="I23" t="str">
        <f>VLOOKUP($A23,diccionario!$A$2:$F68,6,0)</f>
        <v>alberto@benditovino.cl</v>
      </c>
      <c r="J23" t="s">
        <v>165</v>
      </c>
    </row>
    <row r="24" spans="1:10">
      <c r="A24">
        <v>76520024</v>
      </c>
      <c r="B24">
        <v>5</v>
      </c>
      <c r="C24" t="str">
        <f>VLOOKUP(A24,diccionario!$A$2:F69,3,0)</f>
        <v>SOC BRAVO Y HERMANOS LTDA</v>
      </c>
      <c r="D24" t="s">
        <v>47</v>
      </c>
      <c r="E24">
        <f>VLOOKUP($A24,diccionario!$A$2:$F69,5,0)</f>
        <v>70069938</v>
      </c>
      <c r="F24" t="s">
        <v>31</v>
      </c>
      <c r="G24">
        <v>116950</v>
      </c>
      <c r="I24" t="str">
        <f>VLOOKUP($A24,diccionario!$A$2:$F69,6,0)</f>
        <v>raquel@bravoyhermanos.cl</v>
      </c>
      <c r="J24" t="s">
        <v>166</v>
      </c>
    </row>
    <row r="25" spans="1:10">
      <c r="A25">
        <v>76557476</v>
      </c>
      <c r="B25">
        <v>5</v>
      </c>
      <c r="C25" t="str">
        <f>VLOOKUP(A25,diccionario!$A$2:F70,3,0)</f>
        <v>CARNES LOS LOPEZ SPA</v>
      </c>
      <c r="D25" t="s">
        <v>49</v>
      </c>
      <c r="E25">
        <f>VLOOKUP($A25,diccionario!$A$2:$F70,5,0)</f>
        <v>212836397</v>
      </c>
      <c r="F25" t="s">
        <v>31</v>
      </c>
      <c r="G25">
        <v>1532844</v>
      </c>
      <c r="I25" t="str">
        <f>VLOOKUP($A25,diccionario!$A$2:$F70,6,0)</f>
        <v>adm@loslopez.cl</v>
      </c>
      <c r="J25" t="s">
        <v>167</v>
      </c>
    </row>
    <row r="26" spans="1:10">
      <c r="A26">
        <v>76557476</v>
      </c>
      <c r="B26">
        <v>5</v>
      </c>
      <c r="C26" t="str">
        <f>VLOOKUP(A26,diccionario!$A$2:F71,3,0)</f>
        <v>CARNES LOS LOPEZ SPA</v>
      </c>
      <c r="D26" t="s">
        <v>49</v>
      </c>
      <c r="E26">
        <f>VLOOKUP($A26,diccionario!$A$2:$F71,5,0)</f>
        <v>212836397</v>
      </c>
      <c r="F26" t="s">
        <v>31</v>
      </c>
      <c r="G26">
        <v>186042</v>
      </c>
      <c r="I26" t="str">
        <f>VLOOKUP($A26,diccionario!$A$2:$F71,6,0)</f>
        <v>adm@loslopez.cl</v>
      </c>
      <c r="J26" t="s">
        <v>168</v>
      </c>
    </row>
    <row r="27" spans="1:10">
      <c r="A27">
        <v>76775338</v>
      </c>
      <c r="B27">
        <v>1</v>
      </c>
      <c r="C27" t="str">
        <f>VLOOKUP(A27,diccionario!$A$2:F72,3,0)</f>
        <v>PASTIFICIO SPA</v>
      </c>
      <c r="D27" t="s">
        <v>47</v>
      </c>
      <c r="E27">
        <f>VLOOKUP($A27,diccionario!$A$2:$F72,5,0)</f>
        <v>71938140</v>
      </c>
      <c r="F27" t="s">
        <v>31</v>
      </c>
      <c r="G27">
        <v>311064</v>
      </c>
      <c r="I27" t="str">
        <f>VLOOKUP($A27,diccionario!$A$2:$F72,6,0)</f>
        <v>mlpastificio@gmail.com</v>
      </c>
      <c r="J27" t="s">
        <v>169</v>
      </c>
    </row>
    <row r="28" spans="1:10">
      <c r="A28">
        <v>76816019</v>
      </c>
      <c r="B28">
        <v>8</v>
      </c>
      <c r="C28" t="str">
        <f>VLOOKUP(A28,diccionario!$A$2:F73,3,0)</f>
        <v>COLHUE SPA</v>
      </c>
      <c r="D28" t="s">
        <v>47</v>
      </c>
      <c r="E28">
        <f>VLOOKUP($A28,diccionario!$A$2:$F73,5,0)</f>
        <v>72696344</v>
      </c>
      <c r="F28" t="s">
        <v>31</v>
      </c>
      <c r="G28">
        <v>246330</v>
      </c>
      <c r="I28" t="str">
        <f>VLOOKUP($A28,diccionario!$A$2:$F73,6,0)</f>
        <v>rdiaz@agricolacolhue.cl</v>
      </c>
      <c r="J28" t="s">
        <v>170</v>
      </c>
    </row>
    <row r="29" spans="1:10">
      <c r="A29">
        <v>76833750</v>
      </c>
      <c r="B29">
        <v>0</v>
      </c>
      <c r="C29" t="str">
        <f>VLOOKUP(A29,diccionario!$A$2:F74,3,0)</f>
        <v>PAR CUATRO S.A.</v>
      </c>
      <c r="D29" t="s">
        <v>21</v>
      </c>
      <c r="E29">
        <f>VLOOKUP($A29,diccionario!$A$2:$F74,5,0)</f>
        <v>1641221902</v>
      </c>
      <c r="F29" t="s">
        <v>23</v>
      </c>
      <c r="G29">
        <v>436187</v>
      </c>
      <c r="I29" t="str">
        <f>VLOOKUP($A29,diccionario!$A$2:$F74,6,0)</f>
        <v>asistente@par4.cl</v>
      </c>
      <c r="J29" t="s">
        <v>171</v>
      </c>
    </row>
    <row r="30" spans="1:10">
      <c r="A30">
        <v>77017394</v>
      </c>
      <c r="B30">
        <v>9</v>
      </c>
      <c r="C30" t="str">
        <f>VLOOKUP(A30,diccionario!$A$2:F75,3,0)</f>
        <v>SOUL MEDIA SPA</v>
      </c>
      <c r="D30" t="s">
        <v>47</v>
      </c>
      <c r="E30">
        <f>VLOOKUP($A30,diccionario!$A$2:$F75,5,0)</f>
        <v>74411207</v>
      </c>
      <c r="F30" t="s">
        <v>31</v>
      </c>
      <c r="G30">
        <v>1185300</v>
      </c>
      <c r="I30" t="str">
        <f>VLOOKUP($A30,diccionario!$A$2:$F75,6,0)</f>
        <v>adm@souldigital.cl</v>
      </c>
      <c r="J30" t="s">
        <v>172</v>
      </c>
    </row>
    <row r="31" spans="1:10">
      <c r="A31">
        <v>77295158</v>
      </c>
      <c r="B31">
        <v>2</v>
      </c>
      <c r="C31" t="str">
        <f>VLOOKUP(A31,diccionario!$A$2:F76,3,0)</f>
        <v>Vertigreen Limitada</v>
      </c>
      <c r="D31" t="s">
        <v>47</v>
      </c>
      <c r="E31">
        <f>VLOOKUP($A31,diccionario!$A$2:$F76,5,0)</f>
        <v>80086350</v>
      </c>
      <c r="F31" t="s">
        <v>31</v>
      </c>
      <c r="G31">
        <v>17612</v>
      </c>
      <c r="I31" t="str">
        <f>VLOOKUP($A31,diccionario!$A$2:$F76,6,0)</f>
        <v>vertigreenchile@gmail.com</v>
      </c>
      <c r="J31" t="s">
        <v>173</v>
      </c>
    </row>
    <row r="32" spans="1:10">
      <c r="A32">
        <v>77295158</v>
      </c>
      <c r="B32">
        <v>2</v>
      </c>
      <c r="C32" t="str">
        <f>VLOOKUP(A32,diccionario!$A$2:F77,3,0)</f>
        <v>Vertigreen Limitada</v>
      </c>
      <c r="D32" t="s">
        <v>47</v>
      </c>
      <c r="E32">
        <f>VLOOKUP($A32,diccionario!$A$2:$F77,5,0)</f>
        <v>80086350</v>
      </c>
      <c r="F32" t="s">
        <v>31</v>
      </c>
      <c r="G32">
        <v>17612</v>
      </c>
      <c r="I32" t="str">
        <f>VLOOKUP($A32,diccionario!$A$2:$F77,6,0)</f>
        <v>vertigreenchile@gmail.com</v>
      </c>
      <c r="J32" t="s">
        <v>174</v>
      </c>
    </row>
    <row r="33" spans="1:10">
      <c r="A33">
        <v>77428036</v>
      </c>
      <c r="B33">
        <v>7</v>
      </c>
      <c r="C33" t="str">
        <f>VLOOKUP(A33,diccionario!$A$2:F78,3,0)</f>
        <v>LQA INGENIERIA SPA</v>
      </c>
      <c r="D33" t="s">
        <v>33</v>
      </c>
      <c r="E33">
        <f>VLOOKUP($A33,diccionario!$A$2:$F78,5,0)</f>
        <v>981417046</v>
      </c>
      <c r="F33" t="s">
        <v>31</v>
      </c>
      <c r="G33">
        <v>829704</v>
      </c>
      <c r="I33" t="str">
        <f>VLOOKUP($A33,diccionario!$A$2:$F78,6,0)</f>
        <v>lquijada@lqaconsultores.cl</v>
      </c>
      <c r="J33" t="s">
        <v>175</v>
      </c>
    </row>
    <row r="34" spans="1:10">
      <c r="A34">
        <v>77965620</v>
      </c>
      <c r="B34">
        <v>9</v>
      </c>
      <c r="C34" t="str">
        <f>VLOOKUP(A34,diccionario!$A$2:F79,3,0)</f>
        <v>IMPORT Y ALIMENTOS ICB FOOD SERVICE</v>
      </c>
      <c r="D34" t="s">
        <v>47</v>
      </c>
      <c r="E34">
        <f>VLOOKUP($A34,diccionario!$A$2:$F79,5,0)</f>
        <v>1656945</v>
      </c>
      <c r="F34" t="s">
        <v>31</v>
      </c>
      <c r="G34">
        <v>224410</v>
      </c>
      <c r="I34" t="str">
        <f>VLOOKUP($A34,diccionario!$A$2:$F79,6,0)</f>
        <v>rvillagra@icbfs.cl</v>
      </c>
      <c r="J34" t="s">
        <v>176</v>
      </c>
    </row>
    <row r="35" spans="1:10">
      <c r="A35">
        <v>78844090</v>
      </c>
      <c r="B35">
        <v>1</v>
      </c>
      <c r="C35" t="str">
        <f>VLOOKUP(A35,diccionario!$A$2:F80,3,0)</f>
        <v>COMERCIAL BLANCO Y CIA. LTDA.</v>
      </c>
      <c r="D35" t="s">
        <v>29</v>
      </c>
      <c r="E35">
        <f>VLOOKUP($A35,diccionario!$A$2:$F80,5,0)</f>
        <v>248207</v>
      </c>
      <c r="F35" t="s">
        <v>31</v>
      </c>
      <c r="G35">
        <v>155814</v>
      </c>
      <c r="I35" t="str">
        <f>VLOOKUP($A35,diccionario!$A$2:$F80,6,0)</f>
        <v>s.valdebenito@comercialblanco.cl</v>
      </c>
      <c r="J35" t="s">
        <v>177</v>
      </c>
    </row>
    <row r="36" spans="1:10">
      <c r="A36">
        <v>79969260</v>
      </c>
      <c r="B36">
        <v>0</v>
      </c>
      <c r="C36" t="str">
        <f>VLOOKUP(A36,diccionario!$A$2:F81,3,0)</f>
        <v>DISTRIBUIDORA DE ALIMENTOS RAPA NUI LTDA</v>
      </c>
      <c r="D36" t="s">
        <v>37</v>
      </c>
      <c r="E36">
        <f>VLOOKUP($A36,diccionario!$A$2:$F81,5,0)</f>
        <v>85923567</v>
      </c>
      <c r="F36" t="s">
        <v>31</v>
      </c>
      <c r="G36">
        <v>92642</v>
      </c>
      <c r="I36" t="str">
        <f>VLOOKUP($A36,diccionario!$A$2:$F81,6,0)</f>
        <v>transferencias@rapa-nui.cl</v>
      </c>
      <c r="J36" t="s">
        <v>178</v>
      </c>
    </row>
    <row r="37" spans="1:10">
      <c r="A37">
        <v>84650700</v>
      </c>
      <c r="B37">
        <v>0</v>
      </c>
      <c r="C37" t="str">
        <f>VLOOKUP(A37,diccionario!$A$2:F82,3,0)</f>
        <v>Pibamour Soc Comercial</v>
      </c>
      <c r="D37" t="s">
        <v>21</v>
      </c>
      <c r="E37">
        <f>VLOOKUP($A37,diccionario!$A$2:$F82,5,0)</f>
        <v>1595541001</v>
      </c>
      <c r="F37" t="s">
        <v>23</v>
      </c>
      <c r="G37">
        <v>225370</v>
      </c>
      <c r="I37" t="str">
        <f>VLOOKUP($A37,diccionario!$A$2:$F82,6,0)</f>
        <v>mlvillanueva@hotelmagnolia.cl</v>
      </c>
      <c r="J37" t="s">
        <v>179</v>
      </c>
    </row>
    <row r="38" spans="1:10">
      <c r="A38">
        <v>85037900</v>
      </c>
      <c r="B38">
        <v>9</v>
      </c>
      <c r="C38" t="str">
        <f>VLOOKUP(A38,diccionario!$A$2:F83,3,0)</f>
        <v>COM. PEUMO LTDA.</v>
      </c>
      <c r="D38" t="s">
        <v>47</v>
      </c>
      <c r="E38">
        <f>VLOOKUP($A38,diccionario!$A$2:$F83,5,0)</f>
        <v>8220047637</v>
      </c>
      <c r="F38" t="s">
        <v>31</v>
      </c>
      <c r="G38">
        <v>392000</v>
      </c>
      <c r="I38" t="str">
        <f>VLOOKUP($A38,diccionario!$A$2:$F83,6,0)</f>
        <v>jperez@vctchile.com</v>
      </c>
      <c r="J38" t="s">
        <v>180</v>
      </c>
    </row>
    <row r="39" spans="1:10">
      <c r="A39">
        <v>96561410</v>
      </c>
      <c r="B39">
        <v>9</v>
      </c>
      <c r="C39" t="str">
        <f>VLOOKUP(A39,diccionario!$A$2:F85,3,0)</f>
        <v>T. Villard Fines Wines Ltda</v>
      </c>
      <c r="D39" t="s">
        <v>21</v>
      </c>
      <c r="E39">
        <f>VLOOKUP($A39,diccionario!$A$2:$F85,5,0)</f>
        <v>1577498610</v>
      </c>
      <c r="F39" t="s">
        <v>23</v>
      </c>
      <c r="G39">
        <v>320661</v>
      </c>
      <c r="I39" t="str">
        <f>VLOOKUP($A39,diccionario!$A$2:$F85,6,0)</f>
        <v>contabilidad@villard.cl</v>
      </c>
      <c r="J39" t="s">
        <v>181</v>
      </c>
    </row>
    <row r="40" spans="1:10">
      <c r="A40">
        <v>96568970</v>
      </c>
      <c r="B40">
        <v>2</v>
      </c>
      <c r="C40" t="str">
        <f>VLOOKUP(A40,diccionario!$A$2:F86,3,0)</f>
        <v>DISTRIBUCION Y EXCELENCIA S.A.</v>
      </c>
      <c r="D40" t="s">
        <v>21</v>
      </c>
      <c r="E40">
        <f>VLOOKUP($A40,diccionario!$A$2:$F86,5,0)</f>
        <v>160000205</v>
      </c>
      <c r="F40" t="s">
        <v>23</v>
      </c>
      <c r="G40">
        <v>315610</v>
      </c>
      <c r="I40" t="str">
        <f>VLOOKUP($A40,diccionario!$A$2:$F86,6,0)</f>
        <v>mtugas@desa.cl</v>
      </c>
      <c r="J40" t="s">
        <v>182</v>
      </c>
    </row>
    <row r="41" spans="1:10">
      <c r="A41">
        <v>96568970</v>
      </c>
      <c r="B41">
        <v>2</v>
      </c>
      <c r="C41" t="str">
        <f>VLOOKUP(A41,diccionario!$A$2:F87,3,0)</f>
        <v>DISTRIBUCION Y EXCELENCIA S.A.</v>
      </c>
      <c r="D41" t="s">
        <v>21</v>
      </c>
      <c r="E41">
        <f>VLOOKUP($A41,diccionario!$A$2:$F87,5,0)</f>
        <v>160000205</v>
      </c>
      <c r="F41" t="s">
        <v>23</v>
      </c>
      <c r="G41">
        <v>29447</v>
      </c>
      <c r="I41" t="str">
        <f>VLOOKUP($A41,diccionario!$A$2:$F87,6,0)</f>
        <v>mtugas@desa.cl</v>
      </c>
      <c r="J41" t="s">
        <v>183</v>
      </c>
    </row>
    <row r="42" spans="1:10">
      <c r="A42">
        <v>96644100</v>
      </c>
      <c r="B42">
        <v>3</v>
      </c>
      <c r="C42" t="str">
        <f>VLOOKUP(A42,diccionario!$A$2:F88,3,0)</f>
        <v>STEWARD S.A.</v>
      </c>
      <c r="D42" t="s">
        <v>21</v>
      </c>
      <c r="E42">
        <f>VLOOKUP($A42,diccionario!$A$2:$F88,5,0)</f>
        <v>1620249008</v>
      </c>
      <c r="F42" t="s">
        <v>23</v>
      </c>
      <c r="G42">
        <v>180373</v>
      </c>
      <c r="I42" t="str">
        <f>VLOOKUP($A42,diccionario!$A$2:$F88,6,0)</f>
        <v>lpulgar@steward.cl</v>
      </c>
      <c r="J42" t="s">
        <v>184</v>
      </c>
    </row>
    <row r="43" spans="1:10">
      <c r="A43">
        <v>96695350</v>
      </c>
      <c r="B43">
        <v>0</v>
      </c>
      <c r="C43" t="str">
        <f>VLOOKUP(A43,diccionario!$A$2:F89,3,0)</f>
        <v>PROQUIMIA S.A.</v>
      </c>
      <c r="D43" t="s">
        <v>37</v>
      </c>
      <c r="E43">
        <f>VLOOKUP($A43,diccionario!$A$2:$F89,5,0)</f>
        <v>12494445</v>
      </c>
      <c r="F43" t="s">
        <v>31</v>
      </c>
      <c r="G43">
        <v>259754</v>
      </c>
      <c r="I43" t="str">
        <f>VLOOKUP($A43,diccionario!$A$2:$F89,6,0)</f>
        <v>pmartinez@proquimia.com</v>
      </c>
      <c r="J43" t="s">
        <v>185</v>
      </c>
    </row>
    <row r="44" spans="1:10">
      <c r="A44">
        <v>96697910</v>
      </c>
      <c r="B44">
        <v>0</v>
      </c>
      <c r="C44" t="str">
        <f>VLOOKUP(A44,diccionario!$A$2:F90,3,0)</f>
        <v>Comercial y Pesquera South Wind S.A.</v>
      </c>
      <c r="D44" t="s">
        <v>47</v>
      </c>
      <c r="E44">
        <f>VLOOKUP($A44,diccionario!$A$2:$F90,5,0)</f>
        <v>1119052</v>
      </c>
      <c r="F44" t="s">
        <v>31</v>
      </c>
      <c r="G44">
        <v>616020</v>
      </c>
      <c r="I44" t="str">
        <f>VLOOKUP($A44,diccionario!$A$2:$F90,6,0)</f>
        <v>cobranzas@southwind.cl</v>
      </c>
      <c r="J44" t="s">
        <v>186</v>
      </c>
    </row>
    <row r="45" spans="1:10">
      <c r="A45">
        <v>96794440</v>
      </c>
      <c r="B45">
        <v>8</v>
      </c>
      <c r="C45" t="str">
        <f>VLOOKUP(A45,diccionario!$A$2:F91,3,0)</f>
        <v>HEAVENWARD ASCENSORES S.A.</v>
      </c>
      <c r="D45" t="s">
        <v>37</v>
      </c>
      <c r="E45" t="str">
        <f>VLOOKUP($A45,diccionario!$A$2:$F91,5,0)</f>
        <v>18311962</v>
      </c>
      <c r="F45" t="s">
        <v>31</v>
      </c>
      <c r="G45">
        <v>592646</v>
      </c>
      <c r="I45" t="str">
        <f>VLOOKUP($A45,diccionario!$A$2:$F91,6,0)</f>
        <v>cobranza@heavenward.cl</v>
      </c>
      <c r="J45" t="s">
        <v>187</v>
      </c>
    </row>
    <row r="46" spans="1:10">
      <c r="A46">
        <v>99554560</v>
      </c>
      <c r="B46">
        <v>8</v>
      </c>
      <c r="C46" t="str">
        <f>VLOOKUP(A46,diccionario!$A$2:F91,3,0)</f>
        <v>Comercial CCU S.A.</v>
      </c>
      <c r="D46" t="s">
        <v>21</v>
      </c>
      <c r="E46" t="str">
        <f>VLOOKUP($A46,diccionario!$A$2:$F92,5,0)</f>
        <v>0490226600</v>
      </c>
      <c r="F46" t="s">
        <v>23</v>
      </c>
      <c r="G46">
        <v>29400</v>
      </c>
      <c r="I46" t="str">
        <f>VLOOKUP($A46,diccionario!$A$2:$F92,6,0)</f>
        <v>rtorrejon@ccu.cl</v>
      </c>
      <c r="J46" t="s">
        <v>188</v>
      </c>
    </row>
    <row r="47" spans="1:10">
      <c r="A47">
        <v>76481051</v>
      </c>
      <c r="B47">
        <v>1</v>
      </c>
      <c r="C47" t="str">
        <f>VLOOKUP(A47,diccionario!$A$2:F92,3,0)</f>
        <v>America Fun Travel SPA</v>
      </c>
      <c r="D47" t="s">
        <v>33</v>
      </c>
      <c r="E47">
        <f>VLOOKUP($A47,diccionario!$A$2:$F93,5,0)</f>
        <v>973778099</v>
      </c>
      <c r="F47" t="s">
        <v>31</v>
      </c>
      <c r="G47">
        <v>1330302</v>
      </c>
      <c r="I47" s="9" t="s">
        <v>192</v>
      </c>
      <c r="J47" t="s">
        <v>190</v>
      </c>
    </row>
  </sheetData>
  <hyperlinks>
    <hyperlink ref="I47" r:id="rId1" xr:uid="{D0ED50A3-926A-964F-B37D-FA65DFB98B7F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Medio invalido" error="Seleccione un medio de pago de la lista" xr:uid="{00000000-0002-0000-0000-000001000000}">
          <x14:formula1>
            <xm:f>Listas!$D$2:$D$7</xm:f>
          </x14:formula1>
          <xm:sqref>F2:F986</xm:sqref>
        </x14:dataValidation>
        <x14:dataValidation type="list" allowBlank="1" showErrorMessage="1" errorTitle="Banco invalido" error="Seleccione un banco de la lista" xr:uid="{00000000-0002-0000-0000-000000000000}">
          <x14:formula1>
            <xm:f>Listas!$A$2:$A$18</xm:f>
          </x14:formula1>
          <xm:sqref>D2:D986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99E7A-8877-7D4A-BD70-B935EFA9269E}">
  <dimension ref="A1:F35"/>
  <sheetViews>
    <sheetView workbookViewId="0">
      <selection activeCell="E34" sqref="E34"/>
    </sheetView>
  </sheetViews>
  <sheetFormatPr baseColWidth="10" defaultRowHeight="15"/>
  <cols>
    <col min="3" max="3" width="25.1640625" bestFit="1" customWidth="1"/>
    <col min="4" max="4" width="25" bestFit="1" customWidth="1"/>
    <col min="5" max="5" width="14.1640625" bestFit="1" customWidth="1"/>
    <col min="6" max="6" width="25.1640625" bestFit="1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</v>
      </c>
    </row>
    <row r="2" spans="1:6">
      <c r="A2">
        <v>14182066</v>
      </c>
      <c r="B2">
        <v>4</v>
      </c>
      <c r="C2" t="s">
        <v>67</v>
      </c>
      <c r="D2" t="s">
        <v>98</v>
      </c>
      <c r="E2">
        <v>86105094</v>
      </c>
      <c r="F2" t="s">
        <v>99</v>
      </c>
    </row>
    <row r="3" spans="1:6">
      <c r="A3">
        <v>76008854</v>
      </c>
      <c r="B3">
        <v>4</v>
      </c>
      <c r="C3" t="s">
        <v>68</v>
      </c>
      <c r="D3" t="s">
        <v>123</v>
      </c>
      <c r="E3" t="s">
        <v>136</v>
      </c>
      <c r="F3" t="s">
        <v>137</v>
      </c>
    </row>
    <row r="4" spans="1:6" ht="16">
      <c r="A4">
        <v>76099748</v>
      </c>
      <c r="B4" t="s">
        <v>69</v>
      </c>
      <c r="C4" t="s">
        <v>70</v>
      </c>
      <c r="D4" s="8" t="s">
        <v>97</v>
      </c>
      <c r="E4">
        <v>8847301</v>
      </c>
      <c r="F4" s="9" t="s">
        <v>102</v>
      </c>
    </row>
    <row r="5" spans="1:6">
      <c r="A5">
        <v>76102554</v>
      </c>
      <c r="B5">
        <v>6</v>
      </c>
      <c r="C5" t="s">
        <v>71</v>
      </c>
      <c r="D5" t="s">
        <v>103</v>
      </c>
      <c r="E5">
        <v>2500240540</v>
      </c>
      <c r="F5" t="s">
        <v>104</v>
      </c>
    </row>
    <row r="6" spans="1:6">
      <c r="A6">
        <v>76113783</v>
      </c>
      <c r="B6">
        <v>2</v>
      </c>
      <c r="C6" t="s">
        <v>72</v>
      </c>
      <c r="D6" s="6" t="s">
        <v>97</v>
      </c>
      <c r="E6">
        <v>111078068</v>
      </c>
      <c r="F6" s="4" t="s">
        <v>105</v>
      </c>
    </row>
    <row r="7" spans="1:6">
      <c r="A7">
        <v>76129486</v>
      </c>
      <c r="B7">
        <v>5</v>
      </c>
      <c r="C7" t="s">
        <v>73</v>
      </c>
      <c r="D7" s="6" t="s">
        <v>106</v>
      </c>
      <c r="E7" s="10" t="s">
        <v>193</v>
      </c>
      <c r="F7" s="4" t="s">
        <v>107</v>
      </c>
    </row>
    <row r="8" spans="1:6" ht="16">
      <c r="A8">
        <v>76237019</v>
      </c>
      <c r="B8">
        <v>0</v>
      </c>
      <c r="C8" t="s">
        <v>74</v>
      </c>
      <c r="D8" s="8" t="s">
        <v>97</v>
      </c>
      <c r="E8" s="15">
        <v>8545703</v>
      </c>
      <c r="F8" s="9" t="s">
        <v>138</v>
      </c>
    </row>
    <row r="9" spans="1:6">
      <c r="A9">
        <v>76360903</v>
      </c>
      <c r="B9">
        <v>0</v>
      </c>
      <c r="C9" t="s">
        <v>75</v>
      </c>
      <c r="D9" t="s">
        <v>108</v>
      </c>
      <c r="E9">
        <v>61372725</v>
      </c>
      <c r="F9" s="4" t="s">
        <v>109</v>
      </c>
    </row>
    <row r="10" spans="1:6" ht="16">
      <c r="A10">
        <v>76360993</v>
      </c>
      <c r="B10">
        <v>6</v>
      </c>
      <c r="C10" t="s">
        <v>76</v>
      </c>
      <c r="D10" s="5" t="s">
        <v>106</v>
      </c>
      <c r="E10">
        <v>69495311</v>
      </c>
      <c r="F10" s="9" t="s">
        <v>110</v>
      </c>
    </row>
    <row r="11" spans="1:6" ht="16">
      <c r="A11">
        <v>76377708</v>
      </c>
      <c r="B11">
        <v>1</v>
      </c>
      <c r="C11" t="s">
        <v>77</v>
      </c>
      <c r="D11" s="5" t="s">
        <v>98</v>
      </c>
      <c r="E11" s="11">
        <v>21614652</v>
      </c>
      <c r="F11" s="9" t="s">
        <v>111</v>
      </c>
    </row>
    <row r="12" spans="1:6" ht="16">
      <c r="A12">
        <v>76378746</v>
      </c>
      <c r="B12" t="s">
        <v>69</v>
      </c>
      <c r="C12" t="s">
        <v>78</v>
      </c>
      <c r="D12" s="11" t="s">
        <v>112</v>
      </c>
      <c r="E12" s="11">
        <v>27000045</v>
      </c>
      <c r="F12" s="9" t="s">
        <v>113</v>
      </c>
    </row>
    <row r="13" spans="1:6">
      <c r="A13">
        <v>76501781</v>
      </c>
      <c r="B13">
        <v>5</v>
      </c>
      <c r="C13" t="s">
        <v>79</v>
      </c>
      <c r="D13" s="6" t="s">
        <v>98</v>
      </c>
      <c r="E13">
        <v>61649350</v>
      </c>
      <c r="F13" s="9" t="s">
        <v>114</v>
      </c>
    </row>
    <row r="14" spans="1:6" ht="16">
      <c r="A14">
        <v>76520024</v>
      </c>
      <c r="B14">
        <v>5</v>
      </c>
      <c r="C14" t="s">
        <v>80</v>
      </c>
      <c r="D14" s="8" t="s">
        <v>106</v>
      </c>
      <c r="E14" s="12">
        <v>70069938</v>
      </c>
      <c r="F14" s="13" t="s">
        <v>115</v>
      </c>
    </row>
    <row r="15" spans="1:6">
      <c r="A15">
        <v>76557476</v>
      </c>
      <c r="B15">
        <v>5</v>
      </c>
      <c r="C15" t="s">
        <v>81</v>
      </c>
      <c r="D15" s="6" t="s">
        <v>116</v>
      </c>
      <c r="E15">
        <v>212836397</v>
      </c>
      <c r="F15" s="9" t="s">
        <v>117</v>
      </c>
    </row>
    <row r="16" spans="1:6">
      <c r="A16">
        <v>76775338</v>
      </c>
      <c r="B16">
        <v>1</v>
      </c>
      <c r="C16" t="s">
        <v>82</v>
      </c>
      <c r="D16" t="s">
        <v>106</v>
      </c>
      <c r="E16">
        <v>71938140</v>
      </c>
      <c r="F16" s="9" t="s">
        <v>118</v>
      </c>
    </row>
    <row r="17" spans="1:6">
      <c r="A17">
        <v>76816019</v>
      </c>
      <c r="B17">
        <v>8</v>
      </c>
      <c r="C17" t="s">
        <v>83</v>
      </c>
      <c r="D17" t="s">
        <v>106</v>
      </c>
      <c r="E17">
        <v>72696344</v>
      </c>
      <c r="F17" t="s">
        <v>119</v>
      </c>
    </row>
    <row r="18" spans="1:6">
      <c r="A18">
        <v>76833750</v>
      </c>
      <c r="B18">
        <v>0</v>
      </c>
      <c r="C18" t="s">
        <v>84</v>
      </c>
      <c r="D18" s="14" t="s">
        <v>97</v>
      </c>
      <c r="E18">
        <v>1641221902</v>
      </c>
      <c r="F18" s="4" t="s">
        <v>120</v>
      </c>
    </row>
    <row r="19" spans="1:6" ht="16">
      <c r="A19">
        <v>77017394</v>
      </c>
      <c r="B19">
        <v>9</v>
      </c>
      <c r="C19" t="s">
        <v>85</v>
      </c>
      <c r="D19" s="5" t="s">
        <v>106</v>
      </c>
      <c r="E19">
        <v>74411207</v>
      </c>
      <c r="F19" s="9" t="s">
        <v>121</v>
      </c>
    </row>
    <row r="20" spans="1:6">
      <c r="A20">
        <v>77295158</v>
      </c>
      <c r="B20">
        <v>2</v>
      </c>
      <c r="C20" t="s">
        <v>86</v>
      </c>
      <c r="D20" t="s">
        <v>106</v>
      </c>
      <c r="E20">
        <v>80086350</v>
      </c>
      <c r="F20" t="s">
        <v>122</v>
      </c>
    </row>
    <row r="21" spans="1:6">
      <c r="A21">
        <v>77428036</v>
      </c>
      <c r="B21">
        <v>7</v>
      </c>
      <c r="C21" t="s">
        <v>87</v>
      </c>
      <c r="D21" s="6" t="s">
        <v>123</v>
      </c>
      <c r="E21">
        <v>981417046</v>
      </c>
      <c r="F21" s="9" t="s">
        <v>124</v>
      </c>
    </row>
    <row r="22" spans="1:6">
      <c r="A22">
        <v>77965620</v>
      </c>
      <c r="B22">
        <v>9</v>
      </c>
      <c r="C22" t="s">
        <v>125</v>
      </c>
      <c r="D22" t="s">
        <v>106</v>
      </c>
      <c r="E22">
        <v>1656945</v>
      </c>
      <c r="F22" t="s">
        <v>126</v>
      </c>
    </row>
    <row r="23" spans="1:6">
      <c r="A23">
        <v>78844090</v>
      </c>
      <c r="B23">
        <v>1</v>
      </c>
      <c r="C23" t="s">
        <v>139</v>
      </c>
      <c r="D23" t="s">
        <v>103</v>
      </c>
      <c r="E23">
        <v>248207</v>
      </c>
      <c r="F23" t="s">
        <v>140</v>
      </c>
    </row>
    <row r="24" spans="1:6">
      <c r="A24">
        <v>79969260</v>
      </c>
      <c r="B24">
        <v>0</v>
      </c>
      <c r="C24" t="s">
        <v>142</v>
      </c>
      <c r="D24" s="6" t="s">
        <v>98</v>
      </c>
      <c r="E24">
        <v>85923567</v>
      </c>
      <c r="F24" s="9" t="s">
        <v>143</v>
      </c>
    </row>
    <row r="25" spans="1:6" ht="16">
      <c r="A25">
        <v>84650700</v>
      </c>
      <c r="B25">
        <v>0</v>
      </c>
      <c r="C25" t="s">
        <v>88</v>
      </c>
      <c r="D25" s="14" t="s">
        <v>97</v>
      </c>
      <c r="E25" s="16">
        <v>1595541001</v>
      </c>
      <c r="F25" s="9" t="s">
        <v>141</v>
      </c>
    </row>
    <row r="26" spans="1:6">
      <c r="A26">
        <v>85037900</v>
      </c>
      <c r="B26">
        <v>9</v>
      </c>
      <c r="C26" t="s">
        <v>89</v>
      </c>
      <c r="D26" s="6" t="s">
        <v>106</v>
      </c>
      <c r="E26">
        <v>8220047637</v>
      </c>
      <c r="F26" s="9" t="s">
        <v>127</v>
      </c>
    </row>
    <row r="27" spans="1:6">
      <c r="A27">
        <v>87938700</v>
      </c>
      <c r="B27">
        <v>0</v>
      </c>
      <c r="C27" t="s">
        <v>90</v>
      </c>
    </row>
    <row r="28" spans="1:6">
      <c r="A28">
        <v>96561410</v>
      </c>
      <c r="B28">
        <v>9</v>
      </c>
      <c r="C28" t="s">
        <v>91</v>
      </c>
      <c r="D28" s="14" t="s">
        <v>97</v>
      </c>
      <c r="E28">
        <v>1577498610</v>
      </c>
      <c r="F28" s="4" t="s">
        <v>128</v>
      </c>
    </row>
    <row r="29" spans="1:6" ht="16">
      <c r="A29">
        <v>96568970</v>
      </c>
      <c r="B29">
        <v>2</v>
      </c>
      <c r="C29" t="s">
        <v>95</v>
      </c>
      <c r="D29" s="5" t="s">
        <v>97</v>
      </c>
      <c r="E29" s="3">
        <v>160000205</v>
      </c>
      <c r="F29" s="4" t="s">
        <v>96</v>
      </c>
    </row>
    <row r="30" spans="1:6">
      <c r="A30">
        <v>96644100</v>
      </c>
      <c r="B30">
        <v>3</v>
      </c>
      <c r="C30" t="s">
        <v>92</v>
      </c>
      <c r="D30" s="6" t="s">
        <v>97</v>
      </c>
      <c r="E30">
        <v>1620249008</v>
      </c>
      <c r="F30" s="9" t="s">
        <v>135</v>
      </c>
    </row>
    <row r="31" spans="1:6">
      <c r="A31">
        <v>96695350</v>
      </c>
      <c r="B31">
        <v>0</v>
      </c>
      <c r="C31" t="s">
        <v>93</v>
      </c>
      <c r="D31" s="6" t="s">
        <v>98</v>
      </c>
      <c r="E31">
        <v>12494445</v>
      </c>
      <c r="F31" s="9" t="s">
        <v>129</v>
      </c>
    </row>
    <row r="32" spans="1:6">
      <c r="A32">
        <v>96697910</v>
      </c>
      <c r="B32">
        <v>0</v>
      </c>
      <c r="C32" t="s">
        <v>131</v>
      </c>
      <c r="D32" t="s">
        <v>106</v>
      </c>
      <c r="E32">
        <v>1119052</v>
      </c>
      <c r="F32" t="s">
        <v>130</v>
      </c>
    </row>
    <row r="33" spans="1:6">
      <c r="A33">
        <v>96794440</v>
      </c>
      <c r="B33">
        <v>8</v>
      </c>
      <c r="C33" t="s">
        <v>134</v>
      </c>
      <c r="D33" s="6" t="s">
        <v>98</v>
      </c>
      <c r="E33" s="10" t="s">
        <v>132</v>
      </c>
      <c r="F33" s="4" t="s">
        <v>133</v>
      </c>
    </row>
    <row r="34" spans="1:6">
      <c r="A34">
        <v>99554560</v>
      </c>
      <c r="B34">
        <v>8</v>
      </c>
      <c r="C34" t="s">
        <v>94</v>
      </c>
      <c r="D34" s="6" t="s">
        <v>97</v>
      </c>
      <c r="E34" s="7" t="s">
        <v>100</v>
      </c>
      <c r="F34" s="4" t="s">
        <v>101</v>
      </c>
    </row>
    <row r="35" spans="1:6" ht="16">
      <c r="A35">
        <v>76481051</v>
      </c>
      <c r="B35">
        <v>1</v>
      </c>
      <c r="C35" t="s">
        <v>189</v>
      </c>
      <c r="D35" s="5" t="s">
        <v>123</v>
      </c>
      <c r="E35">
        <v>973778099</v>
      </c>
      <c r="F35" s="9" t="s">
        <v>191</v>
      </c>
    </row>
  </sheetData>
  <hyperlinks>
    <hyperlink ref="F29" r:id="rId1" xr:uid="{5369D06D-4944-5C4B-A6FF-445FEA8BE4FF}"/>
    <hyperlink ref="F34" r:id="rId2" xr:uid="{6BC68307-9877-C04C-924D-67B5D0831094}"/>
    <hyperlink ref="F4" r:id="rId3" xr:uid="{26A27D10-7005-2F46-9476-DF1ED0ED7C76}"/>
    <hyperlink ref="F6" r:id="rId4" xr:uid="{393F85D5-94EC-F24D-AF5F-DB90A6EB5787}"/>
    <hyperlink ref="F7" r:id="rId5" xr:uid="{A0766E6D-1C38-0948-972F-9B65169E2F69}"/>
    <hyperlink ref="F9" r:id="rId6" xr:uid="{23494A96-22B7-3647-99C8-B00FA7906A7D}"/>
    <hyperlink ref="F10" r:id="rId7" xr:uid="{BC8402EA-AF2E-E440-AD1C-78B7689920D0}"/>
    <hyperlink ref="F11" r:id="rId8" display="mailto:cobranza@myhotel.com" xr:uid="{028064EE-9891-AB4A-A8DD-4BF556855E29}"/>
    <hyperlink ref="F12" r:id="rId9" xr:uid="{B02861D6-A6D8-4948-BF13-829E92DBD947}"/>
    <hyperlink ref="F13" r:id="rId10" xr:uid="{D346CF64-1DE2-5C4D-A4A7-FD23DE550F58}"/>
    <hyperlink ref="F14" r:id="rId11" display="mailto:raquel@bravoyhermanos.cl" xr:uid="{7E441C27-3D6A-EA4C-ABEF-F915F088704C}"/>
    <hyperlink ref="F15" r:id="rId12" xr:uid="{1C5E94A1-111A-1A47-9AA4-9950A3F6A0D4}"/>
    <hyperlink ref="F16" r:id="rId13" xr:uid="{F3C5ABA0-D7DF-3E48-8B8A-3742995A2857}"/>
    <hyperlink ref="F18" r:id="rId14" xr:uid="{4A213436-04BD-7849-AD7D-BDC65FF5EED5}"/>
    <hyperlink ref="F19" r:id="rId15" xr:uid="{1059F1F2-9ED2-2843-8605-5A3E2A2AD452}"/>
    <hyperlink ref="F21" r:id="rId16" xr:uid="{21C822B0-1AB7-484D-A712-EA87FE3EFAA3}"/>
    <hyperlink ref="F26" r:id="rId17" xr:uid="{7D758702-0D47-674B-9673-EA1DEBBBE356}"/>
    <hyperlink ref="F28" r:id="rId18" xr:uid="{AF9540DA-BB95-A14B-A9EF-71D1028E4B1E}"/>
    <hyperlink ref="F31" r:id="rId19" xr:uid="{1A5E14EC-6253-2E4B-BA7D-E902FF6EAC5B}"/>
    <hyperlink ref="F33" r:id="rId20" xr:uid="{E5EC8C4C-14A9-7347-9352-3AD302DB821F}"/>
    <hyperlink ref="F30" r:id="rId21" xr:uid="{0A7BC644-2658-3A48-A563-E073AA16876D}"/>
    <hyperlink ref="F8" r:id="rId22" display="mailto:facturacion.clientes.cl@cabify.com" xr:uid="{113322E6-08C8-3247-AD19-E8E9D135A2C2}"/>
    <hyperlink ref="F25" r:id="rId23" xr:uid="{E450B925-FD2D-7D44-AFE9-9EDAB79BA407}"/>
    <hyperlink ref="F24" r:id="rId24" xr:uid="{3CB4B835-C98D-3F43-9934-04A1BA4C5FA9}"/>
    <hyperlink ref="F35" r:id="rId25" xr:uid="{57285A56-C665-7D40-A56B-48D4C4D235E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/>
  </sheetViews>
  <sheetFormatPr baseColWidth="10" defaultColWidth="8.83203125" defaultRowHeight="15"/>
  <cols>
    <col min="1" max="1" width="12" customWidth="1"/>
    <col min="2" max="2" width="28" customWidth="1"/>
    <col min="4" max="4" width="16" customWidth="1"/>
    <col min="5" max="5" width="30" customWidth="1"/>
  </cols>
  <sheetData>
    <row r="1" spans="1:5">
      <c r="A1" s="2" t="s">
        <v>18</v>
      </c>
      <c r="B1" s="2" t="s">
        <v>19</v>
      </c>
      <c r="D1" s="2" t="s">
        <v>20</v>
      </c>
      <c r="E1" s="2" t="s">
        <v>7</v>
      </c>
    </row>
    <row r="2" spans="1:5">
      <c r="A2" t="s">
        <v>21</v>
      </c>
      <c r="B2" t="s">
        <v>22</v>
      </c>
      <c r="D2" t="s">
        <v>23</v>
      </c>
      <c r="E2" t="s">
        <v>24</v>
      </c>
    </row>
    <row r="3" spans="1:5">
      <c r="A3" t="s">
        <v>25</v>
      </c>
      <c r="B3" t="s">
        <v>26</v>
      </c>
      <c r="D3" t="s">
        <v>27</v>
      </c>
      <c r="E3" t="s">
        <v>28</v>
      </c>
    </row>
    <row r="4" spans="1:5">
      <c r="A4" t="s">
        <v>29</v>
      </c>
      <c r="B4" t="s">
        <v>30</v>
      </c>
      <c r="D4" t="s">
        <v>31</v>
      </c>
      <c r="E4" t="s">
        <v>32</v>
      </c>
    </row>
    <row r="5" spans="1:5">
      <c r="A5" t="s">
        <v>33</v>
      </c>
      <c r="B5" t="s">
        <v>34</v>
      </c>
      <c r="D5" t="s">
        <v>35</v>
      </c>
      <c r="E5" t="s">
        <v>36</v>
      </c>
    </row>
    <row r="6" spans="1:5">
      <c r="A6" t="s">
        <v>37</v>
      </c>
      <c r="B6" t="s">
        <v>38</v>
      </c>
      <c r="D6" t="s">
        <v>39</v>
      </c>
      <c r="E6" t="s">
        <v>40</v>
      </c>
    </row>
    <row r="7" spans="1:5">
      <c r="A7" t="s">
        <v>41</v>
      </c>
      <c r="B7" t="s">
        <v>42</v>
      </c>
      <c r="D7" t="s">
        <v>43</v>
      </c>
      <c r="E7" t="s">
        <v>44</v>
      </c>
    </row>
    <row r="8" spans="1:5">
      <c r="A8" t="s">
        <v>45</v>
      </c>
      <c r="B8" t="s">
        <v>46</v>
      </c>
    </row>
    <row r="9" spans="1:5">
      <c r="A9" t="s">
        <v>47</v>
      </c>
      <c r="B9" t="s">
        <v>48</v>
      </c>
    </row>
    <row r="10" spans="1:5">
      <c r="A10" t="s">
        <v>49</v>
      </c>
      <c r="B10" t="s">
        <v>50</v>
      </c>
    </row>
    <row r="11" spans="1:5">
      <c r="A11" t="s">
        <v>51</v>
      </c>
      <c r="B11" t="s">
        <v>52</v>
      </c>
    </row>
    <row r="12" spans="1:5">
      <c r="A12" t="s">
        <v>53</v>
      </c>
      <c r="B12" t="s">
        <v>54</v>
      </c>
    </row>
    <row r="13" spans="1:5">
      <c r="A13" t="s">
        <v>55</v>
      </c>
      <c r="B13" t="s">
        <v>56</v>
      </c>
    </row>
    <row r="14" spans="1:5">
      <c r="A14" t="s">
        <v>57</v>
      </c>
      <c r="B14" t="s">
        <v>58</v>
      </c>
    </row>
    <row r="15" spans="1:5">
      <c r="A15" t="s">
        <v>59</v>
      </c>
      <c r="B15" t="s">
        <v>60</v>
      </c>
    </row>
    <row r="16" spans="1:5">
      <c r="A16" t="s">
        <v>61</v>
      </c>
      <c r="B16" t="s">
        <v>62</v>
      </c>
    </row>
    <row r="17" spans="1:2">
      <c r="A17" t="s">
        <v>63</v>
      </c>
      <c r="B17" t="s">
        <v>64</v>
      </c>
    </row>
    <row r="18" spans="1:2">
      <c r="A18" t="s">
        <v>65</v>
      </c>
      <c r="B18" t="s">
        <v>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Proveedores</vt:lpstr>
      <vt:lpstr>diccionario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feineken21@gmail.com</cp:lastModifiedBy>
  <dcterms:created xsi:type="dcterms:W3CDTF">2026-04-23T23:35:41Z</dcterms:created>
  <dcterms:modified xsi:type="dcterms:W3CDTF">2026-05-13T18:22:54Z</dcterms:modified>
</cp:coreProperties>
</file>